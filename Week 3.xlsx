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ovin\OneDrive\Desktop\Data Analysis\Coding Challenges\"/>
    </mc:Choice>
  </mc:AlternateContent>
  <xr:revisionPtr revIDLastSave="0" documentId="13_ncr:1_{B7F106A5-3514-4F2F-B78C-6B477E3B03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3" l="1"/>
  <c r="I15" i="3"/>
  <c r="I16" i="3"/>
  <c r="I17" i="3"/>
  <c r="I18" i="3"/>
  <c r="I19" i="3"/>
  <c r="I20" i="3"/>
  <c r="I21" i="3"/>
  <c r="I14" i="3"/>
  <c r="G15" i="3"/>
  <c r="G16" i="3"/>
  <c r="G17" i="3"/>
  <c r="G18" i="3"/>
  <c r="G19" i="3"/>
  <c r="G20" i="3"/>
  <c r="G21" i="3"/>
  <c r="G14" i="3"/>
  <c r="F15" i="3"/>
  <c r="F16" i="3"/>
  <c r="F17" i="3"/>
  <c r="F18" i="3"/>
  <c r="F19" i="3"/>
  <c r="F20" i="3"/>
  <c r="F21" i="3"/>
  <c r="F14" i="3"/>
</calcChain>
</file>

<file path=xl/sharedStrings.xml><?xml version="1.0" encoding="utf-8"?>
<sst xmlns="http://schemas.openxmlformats.org/spreadsheetml/2006/main" count="106" uniqueCount="55">
  <si>
    <t>Date</t>
  </si>
  <si>
    <t>Product Name</t>
  </si>
  <si>
    <t>Region_Product_Code</t>
  </si>
  <si>
    <t>Sales Amount</t>
  </si>
  <si>
    <t>Quantity</t>
  </si>
  <si>
    <t>Laptop</t>
  </si>
  <si>
    <t>laptop</t>
  </si>
  <si>
    <t>Tablet</t>
  </si>
  <si>
    <t>Order_ID</t>
  </si>
  <si>
    <t>South_Laptop_LP01</t>
  </si>
  <si>
    <t>south_Laptop_LP01</t>
  </si>
  <si>
    <t>North_Phone_PH02</t>
  </si>
  <si>
    <t>Phone</t>
  </si>
  <si>
    <t>18,000$</t>
  </si>
  <si>
    <t>East_Tablet_TB03</t>
  </si>
  <si>
    <t>tab let</t>
  </si>
  <si>
    <t>₹12,500</t>
  </si>
  <si>
    <t>West_Laptop_LP01</t>
  </si>
  <si>
    <t>LAPTOP</t>
  </si>
  <si>
    <t>52,000 USD</t>
  </si>
  <si>
    <t>South_Phone_PH02</t>
  </si>
  <si>
    <t>phone</t>
  </si>
  <si>
    <t>Region</t>
  </si>
  <si>
    <t>Product</t>
  </si>
  <si>
    <t>Code</t>
  </si>
  <si>
    <t>South</t>
  </si>
  <si>
    <t>LP01</t>
  </si>
  <si>
    <t>south</t>
  </si>
  <si>
    <t>North</t>
  </si>
  <si>
    <t>PH02</t>
  </si>
  <si>
    <t>East</t>
  </si>
  <si>
    <t>TB03</t>
  </si>
  <si>
    <t>West</t>
  </si>
  <si>
    <t>Status</t>
  </si>
  <si>
    <t>Column1</t>
  </si>
  <si>
    <t>Clean &amp; Updated Dataset</t>
  </si>
  <si>
    <t>To clean and standardize dataset we can use TRIM Function,CLEAN Function,PROPER Function,UPPER/LOWER,Find &amp; Replace and many other. I here applied TRIM,CLEAN,PROPER,SUBSTITUTE</t>
  </si>
  <si>
    <t>To slit data we can apply Text to columns, I here applied to split Region,Product,Code seperately</t>
  </si>
  <si>
    <t>To analyze data we can present in a table manner and also we can apply data analysis toolpack</t>
  </si>
  <si>
    <t>Only numeric amt in price should be validated otherwise it shows invalid</t>
  </si>
  <si>
    <t>For prevent future issues I here by set formulas in certain columns otherwise it shows error and we can lock the dataset if we want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</si>
  <si>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</si>
  <si>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</si>
  <si>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</si>
  <si>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</si>
  <si>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</si>
  <si>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</si>
  <si>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</si>
  <si>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</si>
  <si>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</si>
  <si>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</si>
  <si>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</si>
  <si>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</si>
  <si>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</si>
  <si>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Data analysis using tool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</si>
</sst>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43" fontId="0" fillId="0" borderId="0" xfId="1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2" borderId="2" xfId="0" applyFont="1" applyFill="1" applyBorder="1" applyAlignment="1">
      <alignment horizontal="centerContinuous"/>
    </xf>
  </cellXfs>
  <cellStyles count="2">
    <cellStyle name="Comma" xfId="1" builtinId="3"/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859111-E02F-447B-B13E-3CCA90E5F129}" name="Table2" displayName="Table2" ref="A13:I22" totalsRowCount="1" headerRowDxfId="8" dataDxfId="9">
  <autoFilter ref="A13:I21" xr:uid="{C2859111-E02F-447B-B13E-3CCA90E5F129}"/>
  <tableColumns count="9">
    <tableColumn id="1" xr3:uid="{29374B20-B7C8-47BD-8EF8-91EC27BDB6D4}" name="Order_ID" dataDxfId="17" totalsRowDxfId="7"/>
    <tableColumn id="2" xr3:uid="{5E28068C-9DAA-488F-96FF-4EB78F06551D}" name="Date" dataDxfId="16" totalsRowDxfId="6"/>
    <tableColumn id="3" xr3:uid="{E384CE1E-D95B-4628-8A72-98157D556FE0}" name="Region" dataDxfId="15" totalsRowDxfId="5"/>
    <tableColumn id="4" xr3:uid="{E95E0B70-42E4-4C1A-8E57-BAE9E5864F14}" name="Product" dataDxfId="14" totalsRowDxfId="4"/>
    <tableColumn id="5" xr3:uid="{6F3303FC-20DF-4211-8EF8-3B24F51756B6}" name="Code" dataDxfId="13" totalsRowDxfId="3"/>
    <tableColumn id="6" xr3:uid="{87577118-41AA-4FFD-8097-4CA6FBD951A4}" name="Product Name" dataDxfId="12" totalsRowDxfId="2">
      <calculatedColumnFormula>TRIM(CLEAN(PROPER((SUBSTITUTE(D2," ","")))))</calculatedColumnFormula>
    </tableColumn>
    <tableColumn id="7" xr3:uid="{4118439A-8B45-4B2F-A369-9BB3D3E327A7}" name="Sales Amount" totalsRowFunction="sum" dataDxfId="11" totalsRowDxfId="1" dataCellStyle="Comma">
      <calculatedColumnFormula>VALUE(SUBSTITUTE(E2,"$",""))</calculatedColumnFormula>
    </tableColumn>
    <tableColumn id="8" xr3:uid="{642A1707-61C4-4785-90FC-BBC3CB63D4AC}" name="Quantity" dataDxfId="10" totalsRowDxfId="0"/>
    <tableColumn id="9" xr3:uid="{AB734A53-0A05-4A69-89E5-BB35861D4688}" name="Status">
      <calculatedColumnFormula>IF(ISNUMBER(H14),"Valid","Invalid")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opLeftCell="A7" workbookViewId="0">
      <selection activeCell="H10" sqref="H10"/>
    </sheetView>
  </sheetViews>
  <sheetFormatPr defaultRowHeight="14.4" x14ac:dyDescent="0.3"/>
  <cols>
    <col min="1" max="1" width="8.5546875" bestFit="1" customWidth="1"/>
    <col min="2" max="2" width="8" bestFit="1" customWidth="1"/>
    <col min="4" max="4" width="7.6640625" bestFit="1" customWidth="1"/>
    <col min="5" max="5" width="7.88671875" bestFit="1" customWidth="1"/>
    <col min="6" max="6" width="8.33203125" bestFit="1" customWidth="1"/>
  </cols>
  <sheetData>
    <row r="1" spans="1:6" ht="43.2" x14ac:dyDescent="0.3">
      <c r="A1" s="1" t="s">
        <v>8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</row>
    <row r="2" spans="1:6" ht="43.2" x14ac:dyDescent="0.3">
      <c r="A2" s="3">
        <v>1001</v>
      </c>
      <c r="B2" s="2">
        <v>45658</v>
      </c>
      <c r="C2" s="3" t="s">
        <v>9</v>
      </c>
      <c r="D2" s="3" t="s">
        <v>6</v>
      </c>
      <c r="E2" s="4">
        <v>45000</v>
      </c>
      <c r="F2" s="3">
        <v>2</v>
      </c>
    </row>
    <row r="3" spans="1:6" ht="43.2" x14ac:dyDescent="0.3">
      <c r="A3" s="3">
        <v>1002</v>
      </c>
      <c r="B3" s="2">
        <v>45659</v>
      </c>
      <c r="C3" s="3" t="s">
        <v>10</v>
      </c>
      <c r="D3" s="3" t="s">
        <v>5</v>
      </c>
      <c r="E3" s="3">
        <v>45000</v>
      </c>
      <c r="F3" s="3">
        <v>2</v>
      </c>
    </row>
    <row r="4" spans="1:6" ht="43.2" x14ac:dyDescent="0.3">
      <c r="A4" s="3">
        <v>1003</v>
      </c>
      <c r="B4" s="2">
        <v>45660</v>
      </c>
      <c r="C4" s="3" t="s">
        <v>11</v>
      </c>
      <c r="D4" s="3" t="s">
        <v>12</v>
      </c>
      <c r="E4" s="3" t="s">
        <v>13</v>
      </c>
      <c r="F4" s="3">
        <v>3</v>
      </c>
    </row>
    <row r="5" spans="1:6" ht="43.2" x14ac:dyDescent="0.3">
      <c r="A5" s="3">
        <v>1004</v>
      </c>
      <c r="B5" s="2">
        <v>45660</v>
      </c>
      <c r="C5" s="3" t="s">
        <v>11</v>
      </c>
      <c r="D5" s="3" t="s">
        <v>12</v>
      </c>
      <c r="E5" s="3" t="s">
        <v>13</v>
      </c>
      <c r="F5" s="3">
        <v>3</v>
      </c>
    </row>
    <row r="6" spans="1:6" ht="28.8" x14ac:dyDescent="0.3">
      <c r="A6" s="3">
        <v>1005</v>
      </c>
      <c r="B6" s="2">
        <v>45661</v>
      </c>
      <c r="C6" s="3" t="s">
        <v>14</v>
      </c>
      <c r="D6" s="3" t="s">
        <v>7</v>
      </c>
      <c r="E6" s="5">
        <v>12500</v>
      </c>
      <c r="F6" s="3">
        <v>1</v>
      </c>
    </row>
    <row r="7" spans="1:6" ht="28.8" x14ac:dyDescent="0.3">
      <c r="A7" s="3">
        <v>1006</v>
      </c>
      <c r="B7" s="2">
        <v>45662</v>
      </c>
      <c r="C7" s="3" t="s">
        <v>14</v>
      </c>
      <c r="D7" s="3" t="s">
        <v>15</v>
      </c>
      <c r="E7" s="3" t="s">
        <v>16</v>
      </c>
      <c r="F7" s="3">
        <v>1</v>
      </c>
    </row>
    <row r="8" spans="1:6" ht="43.2" x14ac:dyDescent="0.3">
      <c r="A8" s="3">
        <v>1007</v>
      </c>
      <c r="B8" s="2">
        <v>45663</v>
      </c>
      <c r="C8" s="3" t="s">
        <v>17</v>
      </c>
      <c r="D8" s="3" t="s">
        <v>18</v>
      </c>
      <c r="E8" s="3">
        <v>52000</v>
      </c>
      <c r="F8" s="3">
        <v>2</v>
      </c>
    </row>
    <row r="9" spans="1:6" ht="43.2" x14ac:dyDescent="0.3">
      <c r="A9" s="3">
        <v>1008</v>
      </c>
      <c r="B9" s="2">
        <v>45664</v>
      </c>
      <c r="C9" s="3" t="s">
        <v>17</v>
      </c>
      <c r="D9" s="3" t="s">
        <v>5</v>
      </c>
      <c r="E9" s="3" t="s">
        <v>19</v>
      </c>
      <c r="F9" s="3">
        <v>2</v>
      </c>
    </row>
    <row r="10" spans="1:6" ht="43.2" x14ac:dyDescent="0.3">
      <c r="A10" s="3">
        <v>1009</v>
      </c>
      <c r="B10" s="2">
        <v>45665</v>
      </c>
      <c r="C10" s="3" t="s">
        <v>20</v>
      </c>
      <c r="D10" s="3" t="s">
        <v>21</v>
      </c>
      <c r="E10" s="3"/>
      <c r="F10" s="3">
        <v>1</v>
      </c>
    </row>
    <row r="11" spans="1:6" ht="43.2" x14ac:dyDescent="0.3">
      <c r="A11" s="3">
        <v>1010</v>
      </c>
      <c r="B11" s="2">
        <v>45666</v>
      </c>
      <c r="C11" s="3" t="s">
        <v>20</v>
      </c>
      <c r="D11" s="3" t="s">
        <v>12</v>
      </c>
      <c r="E11" s="3">
        <v>19000</v>
      </c>
      <c r="F11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3384-64AA-4D73-97C3-0EF81B05D5A5}">
  <dimension ref="A1:I47"/>
  <sheetViews>
    <sheetView tabSelected="1" topLeftCell="A10" workbookViewId="0">
      <selection activeCell="C38" sqref="C38"/>
    </sheetView>
  </sheetViews>
  <sheetFormatPr defaultRowHeight="14.4" x14ac:dyDescent="0.3"/>
  <cols>
    <col min="1" max="1" width="10.44140625" customWidth="1"/>
    <col min="2" max="2" width="12.6640625" customWidth="1"/>
    <col min="3" max="3" width="16.44140625" customWidth="1"/>
    <col min="4" max="4" width="13.5546875" customWidth="1"/>
    <col min="5" max="5" width="12.88671875" customWidth="1"/>
    <col min="6" max="6" width="15" customWidth="1"/>
    <col min="7" max="7" width="14.44140625" customWidth="1"/>
    <col min="8" max="8" width="10.21875" customWidth="1"/>
  </cols>
  <sheetData>
    <row r="1" spans="1:9" ht="43.2" x14ac:dyDescent="0.3">
      <c r="A1" s="1" t="s">
        <v>8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</row>
    <row r="2" spans="1:9" ht="43.2" x14ac:dyDescent="0.3">
      <c r="A2" s="3">
        <v>1001</v>
      </c>
      <c r="B2" s="2">
        <v>45658</v>
      </c>
      <c r="C2" s="3" t="s">
        <v>9</v>
      </c>
      <c r="D2" s="3" t="s">
        <v>6</v>
      </c>
      <c r="E2" s="4">
        <v>45000</v>
      </c>
      <c r="F2" s="3">
        <v>2</v>
      </c>
    </row>
    <row r="3" spans="1:9" ht="28.8" x14ac:dyDescent="0.3">
      <c r="A3" s="3">
        <v>1002</v>
      </c>
      <c r="B3" s="2">
        <v>45659</v>
      </c>
      <c r="C3" s="3" t="s">
        <v>10</v>
      </c>
      <c r="D3" s="3" t="s">
        <v>5</v>
      </c>
      <c r="E3" s="3">
        <v>45000</v>
      </c>
      <c r="F3" s="3">
        <v>2</v>
      </c>
    </row>
    <row r="4" spans="1:9" ht="28.8" x14ac:dyDescent="0.3">
      <c r="A4" s="3">
        <v>1003</v>
      </c>
      <c r="B4" s="2">
        <v>45660</v>
      </c>
      <c r="C4" s="3" t="s">
        <v>11</v>
      </c>
      <c r="D4" s="3" t="s">
        <v>12</v>
      </c>
      <c r="E4" s="5">
        <v>18000</v>
      </c>
      <c r="F4" s="3">
        <v>3</v>
      </c>
    </row>
    <row r="5" spans="1:9" ht="28.8" x14ac:dyDescent="0.3">
      <c r="A5" s="3">
        <v>1004</v>
      </c>
      <c r="B5" s="2">
        <v>45660</v>
      </c>
      <c r="C5" s="3" t="s">
        <v>11</v>
      </c>
      <c r="D5" s="3" t="s">
        <v>12</v>
      </c>
      <c r="E5" s="4">
        <v>18000</v>
      </c>
      <c r="F5" s="3">
        <v>3</v>
      </c>
    </row>
    <row r="6" spans="1:9" ht="28.8" x14ac:dyDescent="0.3">
      <c r="A6" s="3">
        <v>1005</v>
      </c>
      <c r="B6" s="2">
        <v>45661</v>
      </c>
      <c r="C6" s="3" t="s">
        <v>14</v>
      </c>
      <c r="D6" s="3" t="s">
        <v>7</v>
      </c>
      <c r="E6" s="5">
        <v>12500</v>
      </c>
      <c r="F6" s="3">
        <v>1</v>
      </c>
    </row>
    <row r="7" spans="1:9" x14ac:dyDescent="0.3">
      <c r="A7" s="3">
        <v>1006</v>
      </c>
      <c r="B7" s="2">
        <v>45662</v>
      </c>
      <c r="C7" s="3" t="s">
        <v>14</v>
      </c>
      <c r="D7" s="3" t="s">
        <v>15</v>
      </c>
      <c r="E7" s="5">
        <v>12500</v>
      </c>
      <c r="F7" s="3">
        <v>1</v>
      </c>
    </row>
    <row r="8" spans="1:9" ht="43.2" x14ac:dyDescent="0.3">
      <c r="A8" s="3">
        <v>1007</v>
      </c>
      <c r="B8" s="2">
        <v>45663</v>
      </c>
      <c r="C8" s="3" t="s">
        <v>17</v>
      </c>
      <c r="D8" s="3" t="s">
        <v>18</v>
      </c>
      <c r="E8" s="3">
        <v>52000</v>
      </c>
      <c r="F8" s="3">
        <v>2</v>
      </c>
    </row>
    <row r="9" spans="1:9" ht="29.4" customHeight="1" x14ac:dyDescent="0.3">
      <c r="A9" s="3">
        <v>1008</v>
      </c>
      <c r="B9" s="2">
        <v>45664</v>
      </c>
      <c r="C9" s="3" t="s">
        <v>17</v>
      </c>
      <c r="D9" s="3" t="s">
        <v>5</v>
      </c>
      <c r="E9" s="5">
        <v>52000</v>
      </c>
      <c r="F9" s="3">
        <v>2</v>
      </c>
    </row>
    <row r="12" spans="1:9" ht="28.8" customHeight="1" x14ac:dyDescent="0.3">
      <c r="A12" s="8" t="s">
        <v>35</v>
      </c>
      <c r="B12" s="8"/>
      <c r="C12" s="8"/>
      <c r="D12" s="8"/>
      <c r="E12" s="8"/>
      <c r="F12" s="8"/>
      <c r="G12" s="8"/>
      <c r="H12" s="8"/>
      <c r="I12" s="8"/>
    </row>
    <row r="13" spans="1:9" ht="28.8" x14ac:dyDescent="0.3">
      <c r="A13" s="1" t="s">
        <v>8</v>
      </c>
      <c r="B13" s="1" t="s">
        <v>0</v>
      </c>
      <c r="C13" s="1" t="s">
        <v>22</v>
      </c>
      <c r="D13" s="1" t="s">
        <v>23</v>
      </c>
      <c r="E13" s="1" t="s">
        <v>24</v>
      </c>
      <c r="F13" s="1" t="s">
        <v>1</v>
      </c>
      <c r="G13" s="1" t="s">
        <v>3</v>
      </c>
      <c r="H13" s="1" t="s">
        <v>4</v>
      </c>
      <c r="I13" s="1" t="s">
        <v>33</v>
      </c>
    </row>
    <row r="14" spans="1:9" x14ac:dyDescent="0.3">
      <c r="A14" s="3">
        <v>1001</v>
      </c>
      <c r="B14" s="2">
        <v>45658</v>
      </c>
      <c r="C14" s="3" t="s">
        <v>25</v>
      </c>
      <c r="D14" s="3" t="s">
        <v>5</v>
      </c>
      <c r="E14" s="3" t="s">
        <v>26</v>
      </c>
      <c r="F14" s="3" t="str">
        <f>TRIM(CLEAN(PROPER((SUBSTITUTE(D2," ","")))))</f>
        <v>Laptop</v>
      </c>
      <c r="G14" s="7">
        <f>VALUE(SUBSTITUTE(E2,"$",""))</f>
        <v>45000</v>
      </c>
      <c r="H14" s="3">
        <v>2</v>
      </c>
      <c r="I14" t="str">
        <f>IF(ISNUMBER(H14),"Valid","Invalid")</f>
        <v>Valid</v>
      </c>
    </row>
    <row r="15" spans="1:9" x14ac:dyDescent="0.3">
      <c r="A15" s="3">
        <v>1002</v>
      </c>
      <c r="B15" s="2">
        <v>45659</v>
      </c>
      <c r="C15" s="3" t="s">
        <v>27</v>
      </c>
      <c r="D15" s="3" t="s">
        <v>5</v>
      </c>
      <c r="E15" s="3" t="s">
        <v>26</v>
      </c>
      <c r="F15" s="3" t="str">
        <f>TRIM(CLEAN(PROPER((SUBSTITUTE(D3," ","")))))</f>
        <v>Laptop</v>
      </c>
      <c r="G15" s="7">
        <f>VALUE(SUBSTITUTE(E3,"$",""))</f>
        <v>45000</v>
      </c>
      <c r="H15" s="3">
        <v>2</v>
      </c>
      <c r="I15" t="str">
        <f t="shared" ref="I15:I21" si="0">IF(ISNUMBER(H15),"Valid","Invalid")</f>
        <v>Valid</v>
      </c>
    </row>
    <row r="16" spans="1:9" x14ac:dyDescent="0.3">
      <c r="A16" s="3">
        <v>1003</v>
      </c>
      <c r="B16" s="2">
        <v>45660</v>
      </c>
      <c r="C16" s="3" t="s">
        <v>28</v>
      </c>
      <c r="D16" s="3" t="s">
        <v>12</v>
      </c>
      <c r="E16" s="3" t="s">
        <v>29</v>
      </c>
      <c r="F16" s="3" t="str">
        <f>TRIM(CLEAN(PROPER((SUBSTITUTE(D4," ","")))))</f>
        <v>Phone</v>
      </c>
      <c r="G16" s="7">
        <f>VALUE(SUBSTITUTE(E4,"$",""))</f>
        <v>18000</v>
      </c>
      <c r="H16" s="3">
        <v>3</v>
      </c>
      <c r="I16" t="str">
        <f t="shared" si="0"/>
        <v>Valid</v>
      </c>
    </row>
    <row r="17" spans="1:9" x14ac:dyDescent="0.3">
      <c r="A17" s="3">
        <v>1004</v>
      </c>
      <c r="B17" s="2">
        <v>45660</v>
      </c>
      <c r="C17" s="3" t="s">
        <v>28</v>
      </c>
      <c r="D17" s="3" t="s">
        <v>12</v>
      </c>
      <c r="E17" s="3" t="s">
        <v>29</v>
      </c>
      <c r="F17" s="3" t="str">
        <f>TRIM(CLEAN(PROPER((SUBSTITUTE(D5," ","")))))</f>
        <v>Phone</v>
      </c>
      <c r="G17" s="7">
        <f>VALUE(SUBSTITUTE(E5,"$",""))</f>
        <v>18000</v>
      </c>
      <c r="H17" s="3">
        <v>3</v>
      </c>
      <c r="I17" t="str">
        <f t="shared" si="0"/>
        <v>Valid</v>
      </c>
    </row>
    <row r="18" spans="1:9" x14ac:dyDescent="0.3">
      <c r="A18" s="3">
        <v>1005</v>
      </c>
      <c r="B18" s="2">
        <v>45661</v>
      </c>
      <c r="C18" s="3" t="s">
        <v>30</v>
      </c>
      <c r="D18" s="3" t="s">
        <v>7</v>
      </c>
      <c r="E18" s="3" t="s">
        <v>31</v>
      </c>
      <c r="F18" s="3" t="str">
        <f>TRIM(CLEAN(PROPER((SUBSTITUTE(D6," ","")))))</f>
        <v>Tablet</v>
      </c>
      <c r="G18" s="7">
        <f>VALUE(SUBSTITUTE(E6,"$",""))</f>
        <v>12500</v>
      </c>
      <c r="H18" s="3">
        <v>1</v>
      </c>
      <c r="I18" t="str">
        <f t="shared" si="0"/>
        <v>Valid</v>
      </c>
    </row>
    <row r="19" spans="1:9" x14ac:dyDescent="0.3">
      <c r="A19" s="3">
        <v>1006</v>
      </c>
      <c r="B19" s="2">
        <v>45662</v>
      </c>
      <c r="C19" s="3" t="s">
        <v>30</v>
      </c>
      <c r="D19" s="3" t="s">
        <v>7</v>
      </c>
      <c r="E19" s="3" t="s">
        <v>31</v>
      </c>
      <c r="F19" s="3" t="str">
        <f>TRIM(CLEAN(PROPER((SUBSTITUTE(D7," ","")))))</f>
        <v>Tablet</v>
      </c>
      <c r="G19" s="7">
        <f>VALUE(SUBSTITUTE(E7,"$",""))</f>
        <v>12500</v>
      </c>
      <c r="H19" s="3">
        <v>1</v>
      </c>
      <c r="I19" t="str">
        <f t="shared" si="0"/>
        <v>Valid</v>
      </c>
    </row>
    <row r="20" spans="1:9" x14ac:dyDescent="0.3">
      <c r="A20" s="3">
        <v>1007</v>
      </c>
      <c r="B20" s="2">
        <v>45663</v>
      </c>
      <c r="C20" s="3" t="s">
        <v>32</v>
      </c>
      <c r="D20" s="3" t="s">
        <v>5</v>
      </c>
      <c r="E20" s="3" t="s">
        <v>26</v>
      </c>
      <c r="F20" s="3" t="str">
        <f>TRIM(CLEAN(PROPER((SUBSTITUTE(D8," ","")))))</f>
        <v>Laptop</v>
      </c>
      <c r="G20" s="7">
        <f>VALUE(SUBSTITUTE(E8,"$",""))</f>
        <v>52000</v>
      </c>
      <c r="H20" s="3">
        <v>2</v>
      </c>
      <c r="I20" t="str">
        <f t="shared" si="0"/>
        <v>Valid</v>
      </c>
    </row>
    <row r="21" spans="1:9" x14ac:dyDescent="0.3">
      <c r="A21" s="3">
        <v>1008</v>
      </c>
      <c r="B21" s="2">
        <v>45664</v>
      </c>
      <c r="C21" s="3" t="s">
        <v>32</v>
      </c>
      <c r="D21" s="3" t="s">
        <v>5</v>
      </c>
      <c r="E21" s="3" t="s">
        <v>26</v>
      </c>
      <c r="F21" s="3" t="str">
        <f>TRIM(CLEAN(PROPER((SUBSTITUTE(D9," ","")))))</f>
        <v>Laptop</v>
      </c>
      <c r="G21" s="7">
        <f>VALUE(SUBSTITUTE(E9,"$",""))</f>
        <v>52000</v>
      </c>
      <c r="H21" s="3">
        <v>2</v>
      </c>
      <c r="I21" t="str">
        <f t="shared" si="0"/>
        <v>Valid</v>
      </c>
    </row>
    <row r="22" spans="1:9" x14ac:dyDescent="0.3">
      <c r="A22" s="3"/>
      <c r="B22" s="2"/>
      <c r="C22" s="3"/>
      <c r="D22" s="3"/>
      <c r="E22" s="3"/>
      <c r="F22" s="3"/>
      <c r="G22" s="6">
        <f>SUBTOTAL(109,Table2[Sales Amount])</f>
        <v>255000</v>
      </c>
      <c r="H22" s="3"/>
    </row>
    <row r="24" spans="1:9" x14ac:dyDescent="0.3">
      <c r="A24" t="s">
        <v>36</v>
      </c>
    </row>
    <row r="25" spans="1:9" x14ac:dyDescent="0.3">
      <c r="A25" t="s">
        <v>37</v>
      </c>
    </row>
    <row r="26" spans="1:9" x14ac:dyDescent="0.3">
      <c r="A26" t="s">
        <v>38</v>
      </c>
    </row>
    <row r="27" spans="1:9" x14ac:dyDescent="0.3">
      <c r="A27" t="s">
        <v>39</v>
      </c>
    </row>
    <row r="29" spans="1:9" x14ac:dyDescent="0.3">
      <c r="A29" t="s">
        <v>40</v>
      </c>
    </row>
    <row r="30" spans="1:9" ht="15" thickBot="1" x14ac:dyDescent="0.35"/>
    <row r="31" spans="1:9" x14ac:dyDescent="0.3">
      <c r="B31" s="11" t="s">
        <v>34</v>
      </c>
      <c r="C31" s="11"/>
    </row>
    <row r="32" spans="1:9" x14ac:dyDescent="0.3">
      <c r="B32" s="9"/>
      <c r="C32" s="9"/>
    </row>
    <row r="33" spans="1:3" x14ac:dyDescent="0.3">
      <c r="B33" s="9" t="s">
        <v>41</v>
      </c>
      <c r="C33" s="9">
        <v>31875</v>
      </c>
    </row>
    <row r="34" spans="1:3" x14ac:dyDescent="0.3">
      <c r="B34" s="9" t="s">
        <v>42</v>
      </c>
      <c r="C34" s="9">
        <v>6395.2758792274608</v>
      </c>
    </row>
    <row r="35" spans="1:3" x14ac:dyDescent="0.3">
      <c r="B35" s="9" t="s">
        <v>43</v>
      </c>
      <c r="C35" s="9">
        <v>31500</v>
      </c>
    </row>
    <row r="36" spans="1:3" x14ac:dyDescent="0.3">
      <c r="B36" s="9" t="s">
        <v>44</v>
      </c>
      <c r="C36" s="9">
        <v>45000</v>
      </c>
    </row>
    <row r="37" spans="1:3" x14ac:dyDescent="0.3">
      <c r="B37" s="9" t="s">
        <v>45</v>
      </c>
      <c r="C37" s="9">
        <v>18088.571767041991</v>
      </c>
    </row>
    <row r="38" spans="1:3" x14ac:dyDescent="0.3">
      <c r="B38" s="9" t="s">
        <v>46</v>
      </c>
      <c r="C38" s="9">
        <v>327196428.5714286</v>
      </c>
    </row>
    <row r="39" spans="1:3" x14ac:dyDescent="0.3">
      <c r="B39" s="9" t="s">
        <v>47</v>
      </c>
      <c r="C39" s="9">
        <v>-2.5192650803670453</v>
      </c>
    </row>
    <row r="40" spans="1:3" x14ac:dyDescent="0.3">
      <c r="B40" s="9" t="s">
        <v>48</v>
      </c>
      <c r="C40" s="9">
        <v>3.0096226416937013E-2</v>
      </c>
    </row>
    <row r="41" spans="1:3" x14ac:dyDescent="0.3">
      <c r="B41" s="9" t="s">
        <v>49</v>
      </c>
      <c r="C41" s="9">
        <v>39500</v>
      </c>
    </row>
    <row r="42" spans="1:3" x14ac:dyDescent="0.3">
      <c r="B42" s="9" t="s">
        <v>50</v>
      </c>
      <c r="C42" s="9">
        <v>12500</v>
      </c>
    </row>
    <row r="43" spans="1:3" x14ac:dyDescent="0.3">
      <c r="B43" s="9" t="s">
        <v>51</v>
      </c>
      <c r="C43" s="9">
        <v>52000</v>
      </c>
    </row>
    <row r="44" spans="1:3" x14ac:dyDescent="0.3">
      <c r="B44" s="9" t="s">
        <v>52</v>
      </c>
      <c r="C44" s="9">
        <v>255000</v>
      </c>
    </row>
    <row r="45" spans="1:3" ht="15" thickBot="1" x14ac:dyDescent="0.35">
      <c r="B45" s="10" t="s">
        <v>53</v>
      </c>
      <c r="C45" s="10">
        <v>8</v>
      </c>
    </row>
    <row r="47" spans="1:3" x14ac:dyDescent="0.3">
      <c r="A47" t="s">
        <v>54</v>
      </c>
    </row>
  </sheetData>
  <mergeCells count="1">
    <mergeCell ref="A12:I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 M</cp:lastModifiedBy>
  <dcterms:created xsi:type="dcterms:W3CDTF">2015-06-05T18:17:20Z</dcterms:created>
  <dcterms:modified xsi:type="dcterms:W3CDTF">2026-02-05T09:25:25Z</dcterms:modified>
</cp:coreProperties>
</file>